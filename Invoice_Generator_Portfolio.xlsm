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nbo\Documents\Upwork\"/>
    </mc:Choice>
  </mc:AlternateContent>
  <xr:revisionPtr revIDLastSave="0" documentId="13_ncr:1_{832AD269-D050-40B5-86A4-ED17896F5D55}" xr6:coauthVersionLast="47" xr6:coauthVersionMax="47" xr10:uidLastSave="{00000000-0000-0000-0000-000000000000}"/>
  <bookViews>
    <workbookView xWindow="60" yWindow="165" windowWidth="21600" windowHeight="11295" tabRatio="500" activeTab="1" xr2:uid="{00000000-000D-0000-FFFF-FFFF00000000}"/>
  </bookViews>
  <sheets>
    <sheet name="Raw Order Data" sheetId="1" r:id="rId1"/>
    <sheet name="Invoice Generator" sheetId="2" r:id="rId2"/>
  </sheets>
  <definedNames>
    <definedName name="_xlnm.Print_Area" localSheetId="1">'Invoice Generator'!$A$1:$H$22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8" i="2" l="1"/>
  <c r="C7" i="2"/>
  <c r="C6" i="2"/>
  <c r="H3" i="2"/>
  <c r="H2" i="2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I3" i="1"/>
  <c r="J2" i="1"/>
  <c r="I2" i="1"/>
  <c r="F16" i="2" l="1"/>
  <c r="F18" i="2"/>
  <c r="F12" i="2"/>
  <c r="B13" i="2"/>
  <c r="B17" i="2"/>
  <c r="G17" i="2" s="1"/>
  <c r="E13" i="2"/>
  <c r="E17" i="2"/>
  <c r="F17" i="2"/>
  <c r="F13" i="2"/>
  <c r="B18" i="2"/>
  <c r="G18" i="2" s="1"/>
  <c r="E18" i="2"/>
  <c r="F14" i="2"/>
  <c r="B15" i="2"/>
  <c r="B19" i="2"/>
  <c r="G19" i="2" s="1"/>
  <c r="E14" i="2"/>
  <c r="E15" i="2"/>
  <c r="E19" i="2"/>
  <c r="F19" i="2"/>
  <c r="B12" i="2"/>
  <c r="B16" i="2"/>
  <c r="G16" i="2" s="1"/>
  <c r="E12" i="2"/>
  <c r="E16" i="2"/>
  <c r="B14" i="2"/>
  <c r="F15" i="2"/>
  <c r="G15" i="2" l="1"/>
  <c r="G13" i="2"/>
  <c r="G14" i="2"/>
  <c r="G12" i="2"/>
  <c r="G20" i="2" s="1"/>
  <c r="G21" i="2" l="1"/>
  <c r="G22" i="2" s="1"/>
</calcChain>
</file>

<file path=xl/sharedStrings.xml><?xml version="1.0" encoding="utf-8"?>
<sst xmlns="http://schemas.openxmlformats.org/spreadsheetml/2006/main" count="115" uniqueCount="66">
  <si>
    <t>Order ID</t>
  </si>
  <si>
    <t>Customer Name</t>
  </si>
  <si>
    <t>Customer Email</t>
  </si>
  <si>
    <t>Customer Address</t>
  </si>
  <si>
    <t>Item Description</t>
  </si>
  <si>
    <t>Qty</t>
  </si>
  <si>
    <t>Unit Price</t>
  </si>
  <si>
    <t>Order Date</t>
  </si>
  <si>
    <t>Line Total</t>
  </si>
  <si>
    <t>Match Index (helper)</t>
  </si>
  <si>
    <t>Dana Whitfield</t>
  </si>
  <si>
    <t>dana.whitfield@brightleaf.co</t>
  </si>
  <si>
    <t>142 Cedar Ln, Renton WA</t>
  </si>
  <si>
    <t>Consulting - Site Audit</t>
  </si>
  <si>
    <t>2026-06-02</t>
  </si>
  <si>
    <t>Marcus Oyelaran</t>
  </si>
  <si>
    <t>m.oyelaran@northgatehardware.com</t>
  </si>
  <si>
    <t>88 Industrial Way, Kent WA</t>
  </si>
  <si>
    <t>Bulk Fasteners - 1in Wood Screws (box)</t>
  </si>
  <si>
    <t>2026-06-03</t>
  </si>
  <si>
    <t>Follow-up Report</t>
  </si>
  <si>
    <t>2026-06-05</t>
  </si>
  <si>
    <t>Priya Chandrasekaran</t>
  </si>
  <si>
    <t>priya.c@sunridgevets.com</t>
  </si>
  <si>
    <t>27 Meridian Ave, SeaTac WA</t>
  </si>
  <si>
    <t>Waiting Room Signage - Set</t>
  </si>
  <si>
    <t>Bulk Fasteners - 2in Deck Screws (box)</t>
  </si>
  <si>
    <t>2026-06-06</t>
  </si>
  <si>
    <t>Exam Room Labels - Set</t>
  </si>
  <si>
    <t>2026-06-07</t>
  </si>
  <si>
    <t>Terrence Boyle</t>
  </si>
  <si>
    <t>tboyle@boylefreight.net</t>
  </si>
  <si>
    <t>9 Harbor Dr, Burien WA</t>
  </si>
  <si>
    <t>Freight Manifest Template Setup</t>
  </si>
  <si>
    <t>2026-06-08</t>
  </si>
  <si>
    <t>Quarterly Site Audit</t>
  </si>
  <si>
    <t>2026-06-10</t>
  </si>
  <si>
    <t>Bulk Fasteners - 3in Lag Bolts (box)</t>
  </si>
  <si>
    <t>2026-06-11</t>
  </si>
  <si>
    <t>Appointment Cards - 500ct</t>
  </si>
  <si>
    <t>2026-06-12</t>
  </si>
  <si>
    <t>Route Optimization Consult</t>
  </si>
  <si>
    <t>2026-06-13</t>
  </si>
  <si>
    <t>Yusuf Abdirahman</t>
  </si>
  <si>
    <t>y.abdirahman@abdirahmanlaw.com</t>
  </si>
  <si>
    <t>310 5th Ave S, Seattle WA</t>
  </si>
  <si>
    <t>Document Binder Set - Legal</t>
  </si>
  <si>
    <t>2026-06-14</t>
  </si>
  <si>
    <t>2026-06-15</t>
  </si>
  <si>
    <t>Notary Supplies Restock</t>
  </si>
  <si>
    <t>2026-06-16</t>
  </si>
  <si>
    <t>Bulk Fasteners - Assorted Anchors (box)</t>
  </si>
  <si>
    <t>2026-06-17</t>
  </si>
  <si>
    <t>2026-06-18</t>
  </si>
  <si>
    <t>2026-06-19</t>
  </si>
  <si>
    <t>2026-06-20</t>
  </si>
  <si>
    <t>INVOICE</t>
  </si>
  <si>
    <t>Invoice #:</t>
  </si>
  <si>
    <t>Date:</t>
  </si>
  <si>
    <t>Select Customer:</t>
  </si>
  <si>
    <t>Bill To:</t>
  </si>
  <si>
    <t>Email:</t>
  </si>
  <si>
    <t>Address:</t>
  </si>
  <si>
    <t>Subtotal:</t>
  </si>
  <si>
    <t>Tax (10%):</t>
  </si>
  <si>
    <t>TOTAL DUE: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</si>
</sst>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$#,##0.00"/>
    <numFmt numFmtId="165" formatCode="mm/dd/yyyy"/>
  </numFmts>
  <fonts count="9" x14ac:knownFonts="1">
    <font>
      <sz val="11"/>
      <color theme="1"/>
      <name val="Calibri"/>
      <family val="2"/>
      <charset val="1"/>
    </font>
    <font>
      <b/>
      <sz val="11"/>
      <color rgb="FFFFFFFF"/>
      <name val="Arial"/>
      <charset val="1"/>
    </font>
    <font>
      <b/>
      <i/>
      <sz val="9"/>
      <name val="Arial"/>
      <charset val="1"/>
    </font>
    <font>
      <sz val="10"/>
      <name val="Arial"/>
      <charset val="1"/>
    </font>
    <font>
      <i/>
      <sz val="9"/>
      <color rgb="FF808080"/>
      <name val="Arial"/>
      <charset val="1"/>
    </font>
    <font>
      <b/>
      <sz val="18"/>
      <color rgb="FF1F3864"/>
      <name val="Arial"/>
      <charset val="1"/>
    </font>
    <font>
      <b/>
      <sz val="10"/>
      <name val="Arial"/>
      <charset val="1"/>
    </font>
    <font>
      <b/>
      <sz val="12"/>
      <color rgb="FF1F3864"/>
      <name val="Arial"/>
      <charset val="1"/>
    </font>
    <font>
      <b/>
      <sz val="12"/>
      <name val="Arial"/>
      <charset val="1"/>
    </font>
  </fonts>
  <fills count="5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2F2F2"/>
        <bgColor rgb="FFFFFFFF"/>
      </patternFill>
    </fill>
    <fill>
      <patternFill patternType="solid">
        <fgColor rgb="FFD9E2F3"/>
        <bgColor rgb="FFF2F2F2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1" xfId="0" applyFont="1" applyBorder="1"/>
    <xf numFmtId="0" fontId="1" fillId="2" borderId="0" xfId="0" applyFont="1" applyFill="1" applyAlignment="1">
      <alignment horizontal="center"/>
    </xf>
    <xf numFmtId="0" fontId="3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2" fillId="3" borderId="0" xfId="0" applyFont="1" applyFill="1"/>
    <xf numFmtId="164" fontId="3" fillId="0" borderId="1" xfId="0" applyNumberFormat="1" applyFont="1" applyBorder="1"/>
    <xf numFmtId="0" fontId="4" fillId="0" borderId="0" xfId="0" applyFont="1"/>
    <xf numFmtId="0" fontId="6" fillId="0" borderId="0" xfId="0" applyFont="1"/>
    <xf numFmtId="0" fontId="3" fillId="0" borderId="1" xfId="0" applyFont="1" applyBorder="1" applyAlignment="1">
      <alignment horizontal="center"/>
    </xf>
    <xf numFmtId="0" fontId="6" fillId="0" borderId="0" xfId="0" applyFont="1" applyAlignment="1">
      <alignment horizontal="right"/>
    </xf>
    <xf numFmtId="164" fontId="3" fillId="0" borderId="0" xfId="0" applyNumberFormat="1" applyFont="1"/>
    <xf numFmtId="164" fontId="7" fillId="4" borderId="0" xfId="0" applyNumberFormat="1" applyFont="1" applyFill="1"/>
    <xf numFmtId="165" fontId="3" fillId="0" borderId="0" xfId="0" applyNumberFormat="1" applyFont="1" applyAlignment="1">
      <alignment horizontal="left"/>
    </xf>
    <xf numFmtId="0" fontId="8" fillId="4" borderId="0" xfId="0" applyFont="1" applyFill="1" applyAlignment="1">
      <alignment horizontal="right"/>
    </xf>
    <xf numFmtId="0" fontId="3" fillId="0" borderId="1" xfId="0" applyFont="1" applyBorder="1"/>
    <xf numFmtId="0" fontId="3" fillId="0" borderId="0" xfId="0" applyFont="1"/>
    <xf numFmtId="0" fontId="1" fillId="2" borderId="0" xfId="0" applyFont="1" applyFill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4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0</xdr:row>
      <xdr:rowOff>152400</xdr:rowOff>
    </xdr:from>
    <xdr:to>
      <xdr:col>10</xdr:col>
      <xdr:colOff>161925</xdr:colOff>
      <xdr:row>2</xdr:row>
      <xdr:rowOff>123825</xdr:rowOff>
    </xdr:to>
    <xdr:sp macro="[0]!ExportInvoice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3BAF89-33E6-AF74-25ED-F0921622EC72}"/>
            </a:ext>
          </a:extLst>
        </xdr:cNvPr>
        <xdr:cNvSpPr/>
      </xdr:nvSpPr>
      <xdr:spPr>
        <a:xfrm>
          <a:off x="6477000" y="152400"/>
          <a:ext cx="111442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19"/>
  <sheetViews>
    <sheetView zoomScaleNormal="100" workbookViewId="0">
      <pane ySplit="1" topLeftCell="A2" activePane="bottomLeft" state="frozen"/>
      <selection pane="bottomLeft" activeCell="A20" sqref="A20"/>
    </sheetView>
  </sheetViews>
  <sheetFormatPr defaultColWidth="8.7109375" defaultRowHeight="15" x14ac:dyDescent="0.25"/>
  <cols>
    <col min="1" max="1" width="10" customWidth="1"/>
    <col min="2" max="2" width="22" customWidth="1"/>
    <col min="3" max="3" width="30" customWidth="1"/>
    <col min="4" max="4" width="26" customWidth="1"/>
    <col min="5" max="5" width="34" customWidth="1"/>
    <col min="6" max="6" width="6" customWidth="1"/>
    <col min="7" max="7" width="12" customWidth="1"/>
    <col min="8" max="9" width="13" customWidth="1"/>
    <col min="10" max="10" width="20" hidden="1" customWidth="1"/>
  </cols>
  <sheetData>
    <row r="1" spans="1:10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5" t="s">
        <v>9</v>
      </c>
    </row>
    <row r="2" spans="1:10" x14ac:dyDescent="0.25">
      <c r="A2" s="1">
        <v>1001</v>
      </c>
      <c r="B2" s="1" t="s">
        <v>10</v>
      </c>
      <c r="C2" s="1" t="s">
        <v>11</v>
      </c>
      <c r="D2" s="1" t="s">
        <v>12</v>
      </c>
      <c r="E2" s="1" t="s">
        <v>13</v>
      </c>
      <c r="F2" s="1">
        <v>3</v>
      </c>
      <c r="G2" s="6">
        <v>125</v>
      </c>
      <c r="H2" s="1" t="s">
        <v>14</v>
      </c>
      <c r="I2" s="6">
        <f t="shared" ref="I2:I19" si="0">F2*G2</f>
        <v>375</v>
      </c>
      <c r="J2" s="7" t="str">
        <f>IF(B2='Invoice Generator'!$D$4,COUNTIF($B$2:B2,'Invoice Generator'!$D$4),"")</f>
        <v/>
      </c>
    </row>
    <row r="3" spans="1:10" x14ac:dyDescent="0.25">
      <c r="A3" s="1">
        <v>1002</v>
      </c>
      <c r="B3" s="1" t="s">
        <v>15</v>
      </c>
      <c r="C3" s="1" t="s">
        <v>16</v>
      </c>
      <c r="D3" s="1" t="s">
        <v>17</v>
      </c>
      <c r="E3" s="1" t="s">
        <v>18</v>
      </c>
      <c r="F3" s="1">
        <v>40</v>
      </c>
      <c r="G3" s="6">
        <v>6.5</v>
      </c>
      <c r="H3" s="1" t="s">
        <v>19</v>
      </c>
      <c r="I3" s="6">
        <f t="shared" si="0"/>
        <v>260</v>
      </c>
      <c r="J3" s="7" t="str">
        <f>IF(B3='Invoice Generator'!$D$4,COUNTIF($B$2:B3,'Invoice Generator'!$D$4),"")</f>
        <v/>
      </c>
    </row>
    <row r="4" spans="1:10" x14ac:dyDescent="0.25">
      <c r="A4" s="1">
        <v>1003</v>
      </c>
      <c r="B4" s="1" t="s">
        <v>10</v>
      </c>
      <c r="C4" s="1" t="s">
        <v>11</v>
      </c>
      <c r="D4" s="1" t="s">
        <v>12</v>
      </c>
      <c r="E4" s="1" t="s">
        <v>20</v>
      </c>
      <c r="F4" s="1">
        <v>1</v>
      </c>
      <c r="G4" s="6">
        <v>200</v>
      </c>
      <c r="H4" s="1" t="s">
        <v>21</v>
      </c>
      <c r="I4" s="6">
        <f t="shared" si="0"/>
        <v>200</v>
      </c>
      <c r="J4" s="7" t="str">
        <f>IF(B4='Invoice Generator'!$D$4,COUNTIF($B$2:B4,'Invoice Generator'!$D$4),"")</f>
        <v/>
      </c>
    </row>
    <row r="5" spans="1:10" x14ac:dyDescent="0.25">
      <c r="A5" s="1">
        <v>1004</v>
      </c>
      <c r="B5" s="1" t="s">
        <v>22</v>
      </c>
      <c r="C5" s="1" t="s">
        <v>23</v>
      </c>
      <c r="D5" s="1" t="s">
        <v>24</v>
      </c>
      <c r="E5" s="1" t="s">
        <v>25</v>
      </c>
      <c r="F5" s="1">
        <v>6</v>
      </c>
      <c r="G5" s="6">
        <v>18</v>
      </c>
      <c r="H5" s="1" t="s">
        <v>21</v>
      </c>
      <c r="I5" s="6">
        <f t="shared" si="0"/>
        <v>108</v>
      </c>
      <c r="J5" s="7" t="str">
        <f>IF(B5='Invoice Generator'!$D$4,COUNTIF($B$2:B5,'Invoice Generator'!$D$4),"")</f>
        <v/>
      </c>
    </row>
    <row r="6" spans="1:10" x14ac:dyDescent="0.25">
      <c r="A6" s="1">
        <v>1005</v>
      </c>
      <c r="B6" s="1" t="s">
        <v>15</v>
      </c>
      <c r="C6" s="1" t="s">
        <v>16</v>
      </c>
      <c r="D6" s="1" t="s">
        <v>17</v>
      </c>
      <c r="E6" s="1" t="s">
        <v>26</v>
      </c>
      <c r="F6" s="1">
        <v>25</v>
      </c>
      <c r="G6" s="6">
        <v>8.75</v>
      </c>
      <c r="H6" s="1" t="s">
        <v>27</v>
      </c>
      <c r="I6" s="6">
        <f t="shared" si="0"/>
        <v>218.75</v>
      </c>
      <c r="J6" s="7" t="str">
        <f>IF(B6='Invoice Generator'!$D$4,COUNTIF($B$2:B6,'Invoice Generator'!$D$4),"")</f>
        <v/>
      </c>
    </row>
    <row r="7" spans="1:10" x14ac:dyDescent="0.25">
      <c r="A7" s="1">
        <v>1006</v>
      </c>
      <c r="B7" s="1" t="s">
        <v>22</v>
      </c>
      <c r="C7" s="1" t="s">
        <v>23</v>
      </c>
      <c r="D7" s="1" t="s">
        <v>24</v>
      </c>
      <c r="E7" s="1" t="s">
        <v>28</v>
      </c>
      <c r="F7" s="1">
        <v>12</v>
      </c>
      <c r="G7" s="6">
        <v>4.25</v>
      </c>
      <c r="H7" s="1" t="s">
        <v>29</v>
      </c>
      <c r="I7" s="6">
        <f t="shared" si="0"/>
        <v>51</v>
      </c>
      <c r="J7" s="7" t="str">
        <f>IF(B7='Invoice Generator'!$D$4,COUNTIF($B$2:B7,'Invoice Generator'!$D$4),"")</f>
        <v/>
      </c>
    </row>
    <row r="8" spans="1:10" x14ac:dyDescent="0.25">
      <c r="A8" s="1">
        <v>1007</v>
      </c>
      <c r="B8" s="1" t="s">
        <v>30</v>
      </c>
      <c r="C8" s="1" t="s">
        <v>31</v>
      </c>
      <c r="D8" s="1" t="s">
        <v>32</v>
      </c>
      <c r="E8" s="1" t="s">
        <v>33</v>
      </c>
      <c r="F8" s="1">
        <v>1</v>
      </c>
      <c r="G8" s="6">
        <v>350</v>
      </c>
      <c r="H8" s="1" t="s">
        <v>34</v>
      </c>
      <c r="I8" s="6">
        <f t="shared" si="0"/>
        <v>350</v>
      </c>
      <c r="J8" s="7">
        <f>IF(B8='Invoice Generator'!$D$4,COUNTIF($B$2:B8,'Invoice Generator'!$D$4),"")</f>
        <v>1</v>
      </c>
    </row>
    <row r="9" spans="1:10" x14ac:dyDescent="0.25">
      <c r="A9" s="1">
        <v>1008</v>
      </c>
      <c r="B9" s="1" t="s">
        <v>10</v>
      </c>
      <c r="C9" s="1" t="s">
        <v>11</v>
      </c>
      <c r="D9" s="1" t="s">
        <v>12</v>
      </c>
      <c r="E9" s="1" t="s">
        <v>35</v>
      </c>
      <c r="F9" s="1">
        <v>1</v>
      </c>
      <c r="G9" s="6">
        <v>275</v>
      </c>
      <c r="H9" s="1" t="s">
        <v>36</v>
      </c>
      <c r="I9" s="6">
        <f t="shared" si="0"/>
        <v>275</v>
      </c>
      <c r="J9" s="7" t="str">
        <f>IF(B9='Invoice Generator'!$D$4,COUNTIF($B$2:B9,'Invoice Generator'!$D$4),"")</f>
        <v/>
      </c>
    </row>
    <row r="10" spans="1:10" x14ac:dyDescent="0.25">
      <c r="A10" s="1">
        <v>1009</v>
      </c>
      <c r="B10" s="1" t="s">
        <v>15</v>
      </c>
      <c r="C10" s="1" t="s">
        <v>16</v>
      </c>
      <c r="D10" s="1" t="s">
        <v>17</v>
      </c>
      <c r="E10" s="1" t="s">
        <v>37</v>
      </c>
      <c r="F10" s="1">
        <v>15</v>
      </c>
      <c r="G10" s="6">
        <v>12</v>
      </c>
      <c r="H10" s="1" t="s">
        <v>38</v>
      </c>
      <c r="I10" s="6">
        <f t="shared" si="0"/>
        <v>180</v>
      </c>
      <c r="J10" s="7" t="str">
        <f>IF(B10='Invoice Generator'!$D$4,COUNTIF($B$2:B10,'Invoice Generator'!$D$4),"")</f>
        <v/>
      </c>
    </row>
    <row r="11" spans="1:10" x14ac:dyDescent="0.25">
      <c r="A11" s="1">
        <v>1010</v>
      </c>
      <c r="B11" s="1" t="s">
        <v>22</v>
      </c>
      <c r="C11" s="1" t="s">
        <v>23</v>
      </c>
      <c r="D11" s="1" t="s">
        <v>24</v>
      </c>
      <c r="E11" s="1" t="s">
        <v>39</v>
      </c>
      <c r="F11" s="1">
        <v>2</v>
      </c>
      <c r="G11" s="6">
        <v>45</v>
      </c>
      <c r="H11" s="1" t="s">
        <v>40</v>
      </c>
      <c r="I11" s="6">
        <f t="shared" si="0"/>
        <v>90</v>
      </c>
      <c r="J11" s="7" t="str">
        <f>IF(B11='Invoice Generator'!$D$4,COUNTIF($B$2:B11,'Invoice Generator'!$D$4),"")</f>
        <v/>
      </c>
    </row>
    <row r="12" spans="1:10" x14ac:dyDescent="0.25">
      <c r="A12" s="1">
        <v>1011</v>
      </c>
      <c r="B12" s="1" t="s">
        <v>30</v>
      </c>
      <c r="C12" s="1" t="s">
        <v>31</v>
      </c>
      <c r="D12" s="1" t="s">
        <v>32</v>
      </c>
      <c r="E12" s="1" t="s">
        <v>41</v>
      </c>
      <c r="F12" s="1">
        <v>4</v>
      </c>
      <c r="G12" s="6">
        <v>90</v>
      </c>
      <c r="H12" s="1" t="s">
        <v>42</v>
      </c>
      <c r="I12" s="6">
        <f t="shared" si="0"/>
        <v>360</v>
      </c>
      <c r="J12" s="7">
        <f>IF(B12='Invoice Generator'!$D$4,COUNTIF($B$2:B12,'Invoice Generator'!$D$4),"")</f>
        <v>2</v>
      </c>
    </row>
    <row r="13" spans="1:10" x14ac:dyDescent="0.25">
      <c r="A13" s="1">
        <v>1012</v>
      </c>
      <c r="B13" s="1" t="s">
        <v>43</v>
      </c>
      <c r="C13" s="1" t="s">
        <v>44</v>
      </c>
      <c r="D13" s="1" t="s">
        <v>45</v>
      </c>
      <c r="E13" s="1" t="s">
        <v>46</v>
      </c>
      <c r="F13" s="1">
        <v>10</v>
      </c>
      <c r="G13" s="6">
        <v>22.5</v>
      </c>
      <c r="H13" s="1" t="s">
        <v>47</v>
      </c>
      <c r="I13" s="6">
        <f t="shared" si="0"/>
        <v>225</v>
      </c>
      <c r="J13" s="7" t="str">
        <f>IF(B13='Invoice Generator'!$D$4,COUNTIF($B$2:B13,'Invoice Generator'!$D$4),"")</f>
        <v/>
      </c>
    </row>
    <row r="14" spans="1:10" x14ac:dyDescent="0.25">
      <c r="A14" s="1">
        <v>1013</v>
      </c>
      <c r="B14" s="1" t="s">
        <v>10</v>
      </c>
      <c r="C14" s="1" t="s">
        <v>11</v>
      </c>
      <c r="D14" s="1" t="s">
        <v>12</v>
      </c>
      <c r="E14" s="1" t="s">
        <v>20</v>
      </c>
      <c r="F14" s="1">
        <v>1</v>
      </c>
      <c r="G14" s="6">
        <v>200</v>
      </c>
      <c r="H14" s="1" t="s">
        <v>48</v>
      </c>
      <c r="I14" s="6">
        <f t="shared" si="0"/>
        <v>200</v>
      </c>
      <c r="J14" s="7" t="str">
        <f>IF(B14='Invoice Generator'!$D$4,COUNTIF($B$2:B14,'Invoice Generator'!$D$4),"")</f>
        <v/>
      </c>
    </row>
    <row r="15" spans="1:10" x14ac:dyDescent="0.25">
      <c r="A15" s="1">
        <v>1014</v>
      </c>
      <c r="B15" s="1" t="s">
        <v>43</v>
      </c>
      <c r="C15" s="1" t="s">
        <v>44</v>
      </c>
      <c r="D15" s="1" t="s">
        <v>45</v>
      </c>
      <c r="E15" s="1" t="s">
        <v>49</v>
      </c>
      <c r="F15" s="1">
        <v>1</v>
      </c>
      <c r="G15" s="6">
        <v>60</v>
      </c>
      <c r="H15" s="1" t="s">
        <v>50</v>
      </c>
      <c r="I15" s="6">
        <f t="shared" si="0"/>
        <v>60</v>
      </c>
      <c r="J15" s="7" t="str">
        <f>IF(B15='Invoice Generator'!$D$4,COUNTIF($B$2:B15,'Invoice Generator'!$D$4),"")</f>
        <v/>
      </c>
    </row>
    <row r="16" spans="1:10" x14ac:dyDescent="0.25">
      <c r="A16" s="1">
        <v>1015</v>
      </c>
      <c r="B16" s="1" t="s">
        <v>15</v>
      </c>
      <c r="C16" s="1" t="s">
        <v>16</v>
      </c>
      <c r="D16" s="1" t="s">
        <v>17</v>
      </c>
      <c r="E16" s="1" t="s">
        <v>51</v>
      </c>
      <c r="F16" s="1">
        <v>30</v>
      </c>
      <c r="G16" s="6">
        <v>9.1999999999999993</v>
      </c>
      <c r="H16" s="1" t="s">
        <v>52</v>
      </c>
      <c r="I16" s="6">
        <f t="shared" si="0"/>
        <v>276</v>
      </c>
      <c r="J16" s="7" t="str">
        <f>IF(B16='Invoice Generator'!$D$4,COUNTIF($B$2:B16,'Invoice Generator'!$D$4),"")</f>
        <v/>
      </c>
    </row>
    <row r="17" spans="1:10" x14ac:dyDescent="0.25">
      <c r="A17" s="1">
        <v>1016</v>
      </c>
      <c r="B17" s="1" t="s">
        <v>30</v>
      </c>
      <c r="C17" s="1" t="s">
        <v>31</v>
      </c>
      <c r="D17" s="1" t="s">
        <v>32</v>
      </c>
      <c r="E17" s="1" t="s">
        <v>33</v>
      </c>
      <c r="F17" s="1">
        <v>1</v>
      </c>
      <c r="G17" s="6">
        <v>350</v>
      </c>
      <c r="H17" s="1" t="s">
        <v>53</v>
      </c>
      <c r="I17" s="6">
        <f t="shared" si="0"/>
        <v>350</v>
      </c>
      <c r="J17" s="7">
        <f>IF(B17='Invoice Generator'!$D$4,COUNTIF($B$2:B17,'Invoice Generator'!$D$4),"")</f>
        <v>3</v>
      </c>
    </row>
    <row r="18" spans="1:10" x14ac:dyDescent="0.25">
      <c r="A18" s="1">
        <v>1017</v>
      </c>
      <c r="B18" s="1" t="s">
        <v>43</v>
      </c>
      <c r="C18" s="1" t="s">
        <v>44</v>
      </c>
      <c r="D18" s="1" t="s">
        <v>45</v>
      </c>
      <c r="E18" s="1" t="s">
        <v>46</v>
      </c>
      <c r="F18" s="1">
        <v>5</v>
      </c>
      <c r="G18" s="6">
        <v>22.5</v>
      </c>
      <c r="H18" s="1" t="s">
        <v>54</v>
      </c>
      <c r="I18" s="6">
        <f t="shared" si="0"/>
        <v>112.5</v>
      </c>
      <c r="J18" s="7" t="str">
        <f>IF(B18='Invoice Generator'!$D$4,COUNTIF($B$2:B18,'Invoice Generator'!$D$4),"")</f>
        <v/>
      </c>
    </row>
    <row r="19" spans="1:10" x14ac:dyDescent="0.25">
      <c r="A19" s="1">
        <v>1018</v>
      </c>
      <c r="B19" s="1" t="s">
        <v>22</v>
      </c>
      <c r="C19" s="1" t="s">
        <v>23</v>
      </c>
      <c r="D19" s="1" t="s">
        <v>24</v>
      </c>
      <c r="E19" s="1" t="s">
        <v>25</v>
      </c>
      <c r="F19" s="1">
        <v>3</v>
      </c>
      <c r="G19" s="6">
        <v>18</v>
      </c>
      <c r="H19" s="1" t="s">
        <v>55</v>
      </c>
      <c r="I19" s="6">
        <f t="shared" si="0"/>
        <v>54</v>
      </c>
      <c r="J19" s="7" t="str">
        <f>IF(B19='Invoice Generator'!$D$4,COUNTIF($B$2:B19,'Invoice Generator'!$D$4),"")</f>
        <v/>
      </c>
    </row>
  </sheetData>
  <pageMargins left="0.75" right="0.75" top="1" bottom="1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22"/>
  <sheetViews>
    <sheetView showGridLines="0" showRowColHeaders="0" tabSelected="1" zoomScaleNormal="100" workbookViewId="0">
      <selection activeCell="D4" sqref="D4:E4"/>
    </sheetView>
  </sheetViews>
  <sheetFormatPr defaultColWidth="8.7109375" defaultRowHeight="15" x14ac:dyDescent="0.25"/>
  <cols>
    <col min="1" max="1" width="4" customWidth="1"/>
    <col min="2" max="2" width="16" customWidth="1"/>
    <col min="3" max="4" width="10" customWidth="1"/>
    <col min="5" max="5" width="8" customWidth="1"/>
    <col min="6" max="6" width="12" customWidth="1"/>
    <col min="7" max="7" width="14" customWidth="1"/>
    <col min="8" max="8" width="20" customWidth="1"/>
  </cols>
  <sheetData>
    <row r="1" spans="1:8" ht="23.25" x14ac:dyDescent="0.35">
      <c r="A1" s="18" t="s">
        <v>56</v>
      </c>
      <c r="B1" s="18"/>
      <c r="C1" s="18"/>
      <c r="D1" s="18"/>
      <c r="E1" s="18"/>
      <c r="F1" s="18"/>
      <c r="G1" s="18"/>
      <c r="H1" s="18"/>
    </row>
    <row r="2" spans="1:8" x14ac:dyDescent="0.25">
      <c r="G2" s="8" t="s">
        <v>57</v>
      </c>
      <c r="H2" s="3" t="str">
        <f ca="1">"INV-"&amp;TEXT(TODAY(),"YYYYMMDD")&amp;"-"&amp;UPPER(LEFT(SUBSTITUTE(D4," ",""),3))</f>
        <v>INV-20260805-TER</v>
      </c>
    </row>
    <row r="3" spans="1:8" x14ac:dyDescent="0.25">
      <c r="G3" s="8" t="s">
        <v>58</v>
      </c>
      <c r="H3" s="13">
        <f ca="1">TODAY()</f>
        <v>46239</v>
      </c>
    </row>
    <row r="4" spans="1:8" ht="15.75" x14ac:dyDescent="0.25">
      <c r="B4" s="19" t="s">
        <v>59</v>
      </c>
      <c r="C4" s="19"/>
      <c r="D4" s="20" t="s">
        <v>30</v>
      </c>
      <c r="E4" s="20"/>
    </row>
    <row r="6" spans="1:8" x14ac:dyDescent="0.25">
      <c r="B6" s="8" t="s">
        <v>60</v>
      </c>
      <c r="C6" s="16" t="str">
        <f>_xlfn.IFNA(INDEX('Raw Order Data'!$B:$B,MATCH(D4,'Raw Order Data'!$B:$B,0)),"")</f>
        <v>Terrence Boyle</v>
      </c>
      <c r="D6" s="16"/>
      <c r="E6" s="16"/>
      <c r="F6" s="16"/>
    </row>
    <row r="7" spans="1:8" x14ac:dyDescent="0.25">
      <c r="B7" s="8" t="s">
        <v>61</v>
      </c>
      <c r="C7" s="16" t="str">
        <f>_xlfn.IFNA(INDEX('Raw Order Data'!$C:$C,MATCH(D4,'Raw Order Data'!$B:$B,0)),"")</f>
        <v>tboyle@boylefreight.net</v>
      </c>
      <c r="D7" s="16"/>
      <c r="E7" s="16"/>
      <c r="F7" s="16"/>
    </row>
    <row r="8" spans="1:8" x14ac:dyDescent="0.25">
      <c r="B8" s="8" t="s">
        <v>62</v>
      </c>
      <c r="C8" s="16" t="str">
        <f>_xlfn.IFNA(INDEX('Raw Order Data'!$D:$D,MATCH(D4,'Raw Order Data'!$B:$B,0)),"")</f>
        <v>9 Harbor Dr, Burien WA</v>
      </c>
      <c r="D8" s="16"/>
      <c r="E8" s="16"/>
      <c r="F8" s="16"/>
    </row>
    <row r="11" spans="1:8" x14ac:dyDescent="0.25">
      <c r="B11" s="17" t="s">
        <v>4</v>
      </c>
      <c r="C11" s="17"/>
      <c r="D11" s="17"/>
      <c r="E11" s="2" t="s">
        <v>5</v>
      </c>
      <c r="F11" s="2" t="s">
        <v>6</v>
      </c>
      <c r="G11" s="2" t="s">
        <v>8</v>
      </c>
    </row>
    <row r="12" spans="1:8" x14ac:dyDescent="0.25">
      <c r="B12" s="15" t="str">
        <f>IFERROR(INDEX('Raw Order Data'!$E:$E,MATCH(1,'Raw Order Data'!$J:$J,0)),"")</f>
        <v>Freight Manifest Template Setup</v>
      </c>
      <c r="C12" s="15"/>
      <c r="D12" s="15"/>
      <c r="E12" s="9">
        <f>IFERROR(INDEX('Raw Order Data'!$F:$F,MATCH(1,'Raw Order Data'!$J:$J,0)),"")</f>
        <v>1</v>
      </c>
      <c r="F12" s="6">
        <f>IFERROR(INDEX('Raw Order Data'!$G:$G,MATCH(1,'Raw Order Data'!$J:$J,0)),"")</f>
        <v>350</v>
      </c>
      <c r="G12" s="6">
        <f t="shared" ref="G12:G19" si="0">IF(B12="","",E12*F12)</f>
        <v>350</v>
      </c>
    </row>
    <row r="13" spans="1:8" x14ac:dyDescent="0.25">
      <c r="B13" s="15" t="str">
        <f>IFERROR(INDEX('Raw Order Data'!$E:$E,MATCH(2,'Raw Order Data'!$J:$J,0)),"")</f>
        <v>Route Optimization Consult</v>
      </c>
      <c r="C13" s="15"/>
      <c r="D13" s="15"/>
      <c r="E13" s="9">
        <f>IFERROR(INDEX('Raw Order Data'!$F:$F,MATCH(2,'Raw Order Data'!$J:$J,0)),"")</f>
        <v>4</v>
      </c>
      <c r="F13" s="6">
        <f>IFERROR(INDEX('Raw Order Data'!$G:$G,MATCH(2,'Raw Order Data'!$J:$J,0)),"")</f>
        <v>90</v>
      </c>
      <c r="G13" s="6">
        <f t="shared" si="0"/>
        <v>360</v>
      </c>
    </row>
    <row r="14" spans="1:8" x14ac:dyDescent="0.25">
      <c r="B14" s="15" t="str">
        <f>IFERROR(INDEX('Raw Order Data'!$E:$E,MATCH(3,'Raw Order Data'!$J:$J,0)),"")</f>
        <v>Freight Manifest Template Setup</v>
      </c>
      <c r="C14" s="15"/>
      <c r="D14" s="15"/>
      <c r="E14" s="9">
        <f>IFERROR(INDEX('Raw Order Data'!$F:$F,MATCH(3,'Raw Order Data'!$J:$J,0)),"")</f>
        <v>1</v>
      </c>
      <c r="F14" s="6">
        <f>IFERROR(INDEX('Raw Order Data'!$G:$G,MATCH(3,'Raw Order Data'!$J:$J,0)),"")</f>
        <v>350</v>
      </c>
      <c r="G14" s="6">
        <f t="shared" si="0"/>
        <v>350</v>
      </c>
    </row>
    <row r="15" spans="1:8" x14ac:dyDescent="0.25">
      <c r="B15" s="15" t="str">
        <f>IFERROR(INDEX('Raw Order Data'!$E:$E,MATCH(4,'Raw Order Data'!$J:$J,0)),"")</f>
        <v/>
      </c>
      <c r="C15" s="15"/>
      <c r="D15" s="15"/>
      <c r="E15" s="9" t="str">
        <f>IFERROR(INDEX('Raw Order Data'!$F:$F,MATCH(4,'Raw Order Data'!$J:$J,0)),"")</f>
        <v/>
      </c>
      <c r="F15" s="6" t="str">
        <f>IFERROR(INDEX('Raw Order Data'!$G:$G,MATCH(4,'Raw Order Data'!$J:$J,0)),"")</f>
        <v/>
      </c>
      <c r="G15" s="6" t="str">
        <f t="shared" si="0"/>
        <v/>
      </c>
    </row>
    <row r="16" spans="1:8" x14ac:dyDescent="0.25">
      <c r="B16" s="15" t="str">
        <f>IFERROR(INDEX('Raw Order Data'!$E:$E,MATCH(5,'Raw Order Data'!$J:$J,0)),"")</f>
        <v/>
      </c>
      <c r="C16" s="15"/>
      <c r="D16" s="15"/>
      <c r="E16" s="9" t="str">
        <f>IFERROR(INDEX('Raw Order Data'!$F:$F,MATCH(5,'Raw Order Data'!$J:$J,0)),"")</f>
        <v/>
      </c>
      <c r="F16" s="6" t="str">
        <f>IFERROR(INDEX('Raw Order Data'!$G:$G,MATCH(5,'Raw Order Data'!$J:$J,0)),"")</f>
        <v/>
      </c>
      <c r="G16" s="6" t="str">
        <f t="shared" si="0"/>
        <v/>
      </c>
    </row>
    <row r="17" spans="2:7" x14ac:dyDescent="0.25">
      <c r="B17" s="15" t="str">
        <f>IFERROR(INDEX('Raw Order Data'!$E:$E,MATCH(6,'Raw Order Data'!$J:$J,0)),"")</f>
        <v/>
      </c>
      <c r="C17" s="15"/>
      <c r="D17" s="15"/>
      <c r="E17" s="9" t="str">
        <f>IFERROR(INDEX('Raw Order Data'!$F:$F,MATCH(6,'Raw Order Data'!$J:$J,0)),"")</f>
        <v/>
      </c>
      <c r="F17" s="6" t="str">
        <f>IFERROR(INDEX('Raw Order Data'!$G:$G,MATCH(6,'Raw Order Data'!$J:$J,0)),"")</f>
        <v/>
      </c>
      <c r="G17" s="6" t="str">
        <f t="shared" si="0"/>
        <v/>
      </c>
    </row>
    <row r="18" spans="2:7" x14ac:dyDescent="0.25">
      <c r="B18" s="15" t="str">
        <f>IFERROR(INDEX('Raw Order Data'!$E:$E,MATCH(7,'Raw Order Data'!$J:$J,0)),"")</f>
        <v/>
      </c>
      <c r="C18" s="15"/>
      <c r="D18" s="15"/>
      <c r="E18" s="9" t="str">
        <f>IFERROR(INDEX('Raw Order Data'!$F:$F,MATCH(7,'Raw Order Data'!$J:$J,0)),"")</f>
        <v/>
      </c>
      <c r="F18" s="6" t="str">
        <f>IFERROR(INDEX('Raw Order Data'!$G:$G,MATCH(7,'Raw Order Data'!$J:$J,0)),"")</f>
        <v/>
      </c>
      <c r="G18" s="6" t="str">
        <f t="shared" si="0"/>
        <v/>
      </c>
    </row>
    <row r="19" spans="2:7" x14ac:dyDescent="0.25">
      <c r="B19" s="15" t="str">
        <f>IFERROR(INDEX('Raw Order Data'!$E:$E,MATCH(8,'Raw Order Data'!$J:$J,0)),"")</f>
        <v/>
      </c>
      <c r="C19" s="15"/>
      <c r="D19" s="15"/>
      <c r="E19" s="9" t="str">
        <f>IFERROR(INDEX('Raw Order Data'!$F:$F,MATCH(8,'Raw Order Data'!$J:$J,0)),"")</f>
        <v/>
      </c>
      <c r="F19" s="6" t="str">
        <f>IFERROR(INDEX('Raw Order Data'!$G:$G,MATCH(8,'Raw Order Data'!$J:$J,0)),"")</f>
        <v/>
      </c>
      <c r="G19" s="6" t="str">
        <f t="shared" si="0"/>
        <v/>
      </c>
    </row>
    <row r="20" spans="2:7" x14ac:dyDescent="0.25">
      <c r="F20" s="10" t="s">
        <v>63</v>
      </c>
      <c r="G20" s="11">
        <f>SUM(G12:G19)</f>
        <v>1060</v>
      </c>
    </row>
    <row r="21" spans="2:7" x14ac:dyDescent="0.25">
      <c r="F21" s="10" t="s">
        <v>64</v>
      </c>
      <c r="G21" s="11">
        <f>G20*0.1</f>
        <v>106</v>
      </c>
    </row>
    <row r="22" spans="2:7" ht="15.75" x14ac:dyDescent="0.25">
      <c r="E22" s="14" t="s">
        <v>65</v>
      </c>
      <c r="F22" s="14"/>
      <c r="G22" s="12">
        <f>G20+G21</f>
        <v>1166</v>
      </c>
    </row>
  </sheetData>
  <mergeCells count="16">
    <mergeCell ref="A1:H1"/>
    <mergeCell ref="B4:C4"/>
    <mergeCell ref="D4:E4"/>
    <mergeCell ref="C6:F6"/>
    <mergeCell ref="C7:F7"/>
    <mergeCell ref="C8:F8"/>
    <mergeCell ref="B11:D11"/>
    <mergeCell ref="B12:D12"/>
    <mergeCell ref="B13:D13"/>
    <mergeCell ref="B14:D14"/>
    <mergeCell ref="E22:F22"/>
    <mergeCell ref="B15:D15"/>
    <mergeCell ref="B16:D16"/>
    <mergeCell ref="B17:D17"/>
    <mergeCell ref="B18:D18"/>
    <mergeCell ref="B19:D19"/>
  </mergeCells>
  <dataValidations count="1">
    <dataValidation type="list" errorTitle="Invalid entry" error="Please choose a customer from the dropdown list." promptTitle="Select Customer" prompt="Choose a customer to auto-generate their invoice." sqref="D4" xr:uid="{00000000-0002-0000-0100-000000000000}">
      <formula1>"Dana Whitfield,Marcus Oyelaran,Priya Chandrasekaran,Terrence Boyle,Yusuf Abdirahman"</formula1>
      <formula2>0</formula2>
    </dataValidation>
  </dataValidation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Raw Order Data</vt:lpstr>
      <vt:lpstr>Invoice Generator</vt:lpstr>
      <vt:lpstr>'Invoice Generator'!Print_Area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James Day</cp:lastModifiedBy>
  <cp:revision>0</cp:revision>
  <cp:lastPrinted>2026-08-05T11:36:16Z</cp:lastPrinted>
  <dcterms:created xsi:type="dcterms:W3CDTF">2026-08-05T09:10:51Z</dcterms:created>
  <dcterms:modified xsi:type="dcterms:W3CDTF">2026-08-05T12:30:27Z</dcterms:modified>
  <dc:language>en-US</dc:language>
</cp:coreProperties>
</file>