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Order Data" sheetId="1" state="visible" r:id="rId3"/>
    <sheet name="Invoice Generato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<sst xmlns="http://schemas.openxmlformats.org/spreadsheetml/2006/main" count="116" uniqueCount="67">
  <si>
    <t xml:space="preserve">Order ID</t>
  </si>
  <si>
    <t xml:space="preserve">Customer Name</t>
  </si>
  <si>
    <t xml:space="preserve">Customer Email</t>
  </si>
  <si>
    <t xml:space="preserve">Customer Address</t>
  </si>
  <si>
    <t xml:space="preserve">Item Description</t>
  </si>
  <si>
    <t xml:space="preserve">Qty</t>
  </si>
  <si>
    <t xml:space="preserve">Unit Price</t>
  </si>
  <si>
    <t xml:space="preserve">Order Date</t>
  </si>
  <si>
    <t xml:space="preserve">Line Total</t>
  </si>
  <si>
    <t xml:space="preserve">Match Index (helper)</t>
  </si>
  <si>
    <t xml:space="preserve">Dana Whitfield</t>
  </si>
  <si>
    <t xml:space="preserve">dana.whitfield@brightleaf.co</t>
  </si>
  <si>
    <t xml:space="preserve">142 Cedar Ln, Renton WA</t>
  </si>
  <si>
    <t xml:space="preserve">Consulting - Site Audit</t>
  </si>
  <si>
    <t xml:space="preserve">2026-06-02</t>
  </si>
  <si>
    <t xml:space="preserve">Marcus Oyelaran</t>
  </si>
  <si>
    <t xml:space="preserve">m.oyelaran@northgatehardware.com</t>
  </si>
  <si>
    <t xml:space="preserve">88 Industrial Way, Kent WA</t>
  </si>
  <si>
    <t xml:space="preserve">Bulk Fasteners - 1in Wood Screws (box)</t>
  </si>
  <si>
    <t xml:space="preserve">2026-06-03</t>
  </si>
  <si>
    <t xml:space="preserve">Follow-up Report</t>
  </si>
  <si>
    <t xml:space="preserve">2026-06-05</t>
  </si>
  <si>
    <t xml:space="preserve">Priya Chandrasekaran</t>
  </si>
  <si>
    <t xml:space="preserve">priya.c@sunridgevets.com</t>
  </si>
  <si>
    <t xml:space="preserve">27 Meridian Ave, SeaTac WA</t>
  </si>
  <si>
    <t xml:space="preserve">Waiting Room Signage - Set</t>
  </si>
  <si>
    <t xml:space="preserve">Bulk Fasteners - 2in Deck Screws (box)</t>
  </si>
  <si>
    <t xml:space="preserve">2026-06-06</t>
  </si>
  <si>
    <t xml:space="preserve">Exam Room Labels - Set</t>
  </si>
  <si>
    <t xml:space="preserve">2026-06-07</t>
  </si>
  <si>
    <t xml:space="preserve">Terrence Boyle</t>
  </si>
  <si>
    <t xml:space="preserve">tboyle@boylefreight.net</t>
  </si>
  <si>
    <t xml:space="preserve">9 Harbor Dr, Burien WA</t>
  </si>
  <si>
    <t xml:space="preserve">Freight Manifest Template Setup</t>
  </si>
  <si>
    <t xml:space="preserve">2026-06-08</t>
  </si>
  <si>
    <t xml:space="preserve">Quarterly Site Audit</t>
  </si>
  <si>
    <t xml:space="preserve">2026-06-10</t>
  </si>
  <si>
    <t xml:space="preserve">Bulk Fasteners - 3in Lag Bolts (box)</t>
  </si>
  <si>
    <t xml:space="preserve">2026-06-11</t>
  </si>
  <si>
    <t xml:space="preserve">Appointment Cards - 500ct</t>
  </si>
  <si>
    <t xml:space="preserve">2026-06-12</t>
  </si>
  <si>
    <t xml:space="preserve">Route Optimization Consult</t>
  </si>
  <si>
    <t xml:space="preserve">2026-06-13</t>
  </si>
  <si>
    <t xml:space="preserve">Yusuf Abdirahman</t>
  </si>
  <si>
    <t xml:space="preserve">y.abdirahman@abdirahmanlaw.com</t>
  </si>
  <si>
    <t xml:space="preserve">310 5th Ave S, Seattle WA</t>
  </si>
  <si>
    <t xml:space="preserve">Document Binder Set - Legal</t>
  </si>
  <si>
    <t xml:space="preserve">2026-06-14</t>
  </si>
  <si>
    <t xml:space="preserve">2026-06-15</t>
  </si>
  <si>
    <t xml:space="preserve">Notary Supplies Restock</t>
  </si>
  <si>
    <t xml:space="preserve">2026-06-16</t>
  </si>
  <si>
    <t xml:space="preserve">Bulk Fasteners - Assorted Anchors (box)</t>
  </si>
  <si>
    <t xml:space="preserve">2026-06-17</t>
  </si>
  <si>
    <t xml:space="preserve">2026-06-18</t>
  </si>
  <si>
    <t xml:space="preserve">2026-06-19</t>
  </si>
  <si>
    <t xml:space="preserve">2026-06-20</t>
  </si>
  <si>
    <t xml:space="preserve">INVOICE</t>
  </si>
  <si>
    <t xml:space="preserve">Invoice #:</t>
  </si>
  <si>
    <t xml:space="preserve">Date:</t>
  </si>
  <si>
    <t xml:space="preserve">Select Customer:</t>
  </si>
  <si>
    <t xml:space="preserve">Bill To:</t>
  </si>
  <si>
    <t xml:space="preserve">Email:</t>
  </si>
  <si>
    <t xml:space="preserve">Address:</t>
  </si>
  <si>
    <t xml:space="preserve">Subtotal:</t>
  </si>
  <si>
    <t xml:space="preserve">Tax (10%):</t>
  </si>
  <si>
    <t xml:space="preserve">TOTAL DUE:</t>
  </si>
  <si>
    <t xml:space="preserve">One-click PDF export available via the companion "Export Invoice to PDF" macro (see GenerateInvoicePDF.bas).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</si>
</sst>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General"/>
    <numFmt numFmtId="167" formatCode="mm/dd/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i val="true"/>
      <sz val="9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9E2F3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26"/>
    <col collapsed="false" customWidth="true" hidden="false" outlineLevel="0" max="5" min="5" style="1" width="34"/>
    <col collapsed="false" customWidth="true" hidden="false" outlineLevel="0" max="6" min="6" style="1" width="6"/>
    <col collapsed="false" customWidth="true" hidden="false" outlineLevel="0" max="7" min="7" style="1" width="12"/>
    <col collapsed="false" customWidth="true" hidden="false" outlineLevel="0" max="9" min="8" style="1" width="13"/>
    <col collapsed="false" customWidth="true" hidden="false" outlineLevel="0" max="10" min="10" style="1" width="20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customFormat="false" ht="15" hidden="false" customHeight="false" outlineLevel="0" collapsed="false">
      <c r="A2" s="4" t="n">
        <v>1001</v>
      </c>
      <c r="B2" s="4" t="s">
        <v>10</v>
      </c>
      <c r="C2" s="4" t="s">
        <v>11</v>
      </c>
      <c r="D2" s="4" t="s">
        <v>12</v>
      </c>
      <c r="E2" s="4" t="s">
        <v>13</v>
      </c>
      <c r="F2" s="4" t="n">
        <v>3</v>
      </c>
      <c r="G2" s="5" t="n">
        <v>125</v>
      </c>
      <c r="H2" s="4" t="s">
        <v>14</v>
      </c>
      <c r="I2" s="5" t="n">
        <f aca="false">F2*G2</f>
        <v>375</v>
      </c>
      <c r="J2" s="6" t="n">
        <f aca="false">IF(B2='Invoice Generator'!$D$4,COUNTIF($B$2:B2,'Invoice Generator'!$D$4),"")</f>
        <v>1</v>
      </c>
    </row>
    <row r="3" customFormat="false" ht="15" hidden="false" customHeight="false" outlineLevel="0" collapsed="false">
      <c r="A3" s="4" t="n">
        <v>1002</v>
      </c>
      <c r="B3" s="4" t="s">
        <v>15</v>
      </c>
      <c r="C3" s="4" t="s">
        <v>16</v>
      </c>
      <c r="D3" s="4" t="s">
        <v>17</v>
      </c>
      <c r="E3" s="4" t="s">
        <v>18</v>
      </c>
      <c r="F3" s="4" t="n">
        <v>40</v>
      </c>
      <c r="G3" s="5" t="n">
        <v>6.5</v>
      </c>
      <c r="H3" s="4" t="s">
        <v>19</v>
      </c>
      <c r="I3" s="5" t="n">
        <f aca="false">F3*G3</f>
        <v>260</v>
      </c>
      <c r="J3" s="6" t="str">
        <f aca="false">IF(B3='Invoice Generator'!$D$4,COUNTIF($B$2:B3,'Invoice Generator'!$D$4),"")</f>
        <v/>
      </c>
    </row>
    <row r="4" customFormat="false" ht="15" hidden="false" customHeight="false" outlineLevel="0" collapsed="false">
      <c r="A4" s="4" t="n">
        <v>1003</v>
      </c>
      <c r="B4" s="4" t="s">
        <v>10</v>
      </c>
      <c r="C4" s="4" t="s">
        <v>11</v>
      </c>
      <c r="D4" s="4" t="s">
        <v>12</v>
      </c>
      <c r="E4" s="4" t="s">
        <v>20</v>
      </c>
      <c r="F4" s="4" t="n">
        <v>1</v>
      </c>
      <c r="G4" s="5" t="n">
        <v>200</v>
      </c>
      <c r="H4" s="4" t="s">
        <v>21</v>
      </c>
      <c r="I4" s="5" t="n">
        <f aca="false">F4*G4</f>
        <v>200</v>
      </c>
      <c r="J4" s="6" t="n">
        <f aca="false">IF(B4='Invoice Generator'!$D$4,COUNTIF($B$2:B4,'Invoice Generator'!$D$4),"")</f>
        <v>2</v>
      </c>
    </row>
    <row r="5" customFormat="false" ht="15" hidden="false" customHeight="false" outlineLevel="0" collapsed="false">
      <c r="A5" s="4" t="n">
        <v>1004</v>
      </c>
      <c r="B5" s="4" t="s">
        <v>22</v>
      </c>
      <c r="C5" s="4" t="s">
        <v>23</v>
      </c>
      <c r="D5" s="4" t="s">
        <v>24</v>
      </c>
      <c r="E5" s="4" t="s">
        <v>25</v>
      </c>
      <c r="F5" s="4" t="n">
        <v>6</v>
      </c>
      <c r="G5" s="5" t="n">
        <v>18</v>
      </c>
      <c r="H5" s="4" t="s">
        <v>21</v>
      </c>
      <c r="I5" s="5" t="n">
        <f aca="false">F5*G5</f>
        <v>108</v>
      </c>
      <c r="J5" s="6" t="str">
        <f aca="false">IF(B5='Invoice Generator'!$D$4,COUNTIF($B$2:B5,'Invoice Generator'!$D$4),"")</f>
        <v/>
      </c>
    </row>
    <row r="6" customFormat="false" ht="15" hidden="false" customHeight="false" outlineLevel="0" collapsed="false">
      <c r="A6" s="4" t="n">
        <v>1005</v>
      </c>
      <c r="B6" s="4" t="s">
        <v>15</v>
      </c>
      <c r="C6" s="4" t="s">
        <v>16</v>
      </c>
      <c r="D6" s="4" t="s">
        <v>17</v>
      </c>
      <c r="E6" s="4" t="s">
        <v>26</v>
      </c>
      <c r="F6" s="4" t="n">
        <v>25</v>
      </c>
      <c r="G6" s="5" t="n">
        <v>8.75</v>
      </c>
      <c r="H6" s="4" t="s">
        <v>27</v>
      </c>
      <c r="I6" s="5" t="n">
        <f aca="false">F6*G6</f>
        <v>218.75</v>
      </c>
      <c r="J6" s="6" t="str">
        <f aca="false">IF(B6='Invoice Generator'!$D$4,COUNTIF($B$2:B6,'Invoice Generator'!$D$4),"")</f>
        <v/>
      </c>
    </row>
    <row r="7" customFormat="false" ht="15" hidden="false" customHeight="false" outlineLevel="0" collapsed="false">
      <c r="A7" s="4" t="n">
        <v>1006</v>
      </c>
      <c r="B7" s="4" t="s">
        <v>22</v>
      </c>
      <c r="C7" s="4" t="s">
        <v>23</v>
      </c>
      <c r="D7" s="4" t="s">
        <v>24</v>
      </c>
      <c r="E7" s="4" t="s">
        <v>28</v>
      </c>
      <c r="F7" s="4" t="n">
        <v>12</v>
      </c>
      <c r="G7" s="5" t="n">
        <v>4.25</v>
      </c>
      <c r="H7" s="4" t="s">
        <v>29</v>
      </c>
      <c r="I7" s="5" t="n">
        <f aca="false">F7*G7</f>
        <v>51</v>
      </c>
      <c r="J7" s="6" t="str">
        <f aca="false">IF(B7='Invoice Generator'!$D$4,COUNTIF($B$2:B7,'Invoice Generator'!$D$4),"")</f>
        <v/>
      </c>
    </row>
    <row r="8" customFormat="false" ht="15" hidden="false" customHeight="false" outlineLevel="0" collapsed="false">
      <c r="A8" s="4" t="n">
        <v>1007</v>
      </c>
      <c r="B8" s="4" t="s">
        <v>30</v>
      </c>
      <c r="C8" s="4" t="s">
        <v>31</v>
      </c>
      <c r="D8" s="4" t="s">
        <v>32</v>
      </c>
      <c r="E8" s="4" t="s">
        <v>33</v>
      </c>
      <c r="F8" s="4" t="n">
        <v>1</v>
      </c>
      <c r="G8" s="5" t="n">
        <v>350</v>
      </c>
      <c r="H8" s="4" t="s">
        <v>34</v>
      </c>
      <c r="I8" s="5" t="n">
        <f aca="false">F8*G8</f>
        <v>350</v>
      </c>
      <c r="J8" s="6" t="str">
        <f aca="false">IF(B8='Invoice Generator'!$D$4,COUNTIF($B$2:B8,'Invoice Generator'!$D$4),"")</f>
        <v/>
      </c>
    </row>
    <row r="9" customFormat="false" ht="15" hidden="false" customHeight="false" outlineLevel="0" collapsed="false">
      <c r="A9" s="4" t="n">
        <v>1008</v>
      </c>
      <c r="B9" s="4" t="s">
        <v>10</v>
      </c>
      <c r="C9" s="4" t="s">
        <v>11</v>
      </c>
      <c r="D9" s="4" t="s">
        <v>12</v>
      </c>
      <c r="E9" s="4" t="s">
        <v>35</v>
      </c>
      <c r="F9" s="4" t="n">
        <v>1</v>
      </c>
      <c r="G9" s="5" t="n">
        <v>275</v>
      </c>
      <c r="H9" s="4" t="s">
        <v>36</v>
      </c>
      <c r="I9" s="5" t="n">
        <f aca="false">F9*G9</f>
        <v>275</v>
      </c>
      <c r="J9" s="6" t="n">
        <f aca="false">IF(B9='Invoice Generator'!$D$4,COUNTIF($B$2:B9,'Invoice Generator'!$D$4),"")</f>
        <v>3</v>
      </c>
    </row>
    <row r="10" customFormat="false" ht="15" hidden="false" customHeight="false" outlineLevel="0" collapsed="false">
      <c r="A10" s="4" t="n">
        <v>1009</v>
      </c>
      <c r="B10" s="4" t="s">
        <v>15</v>
      </c>
      <c r="C10" s="4" t="s">
        <v>16</v>
      </c>
      <c r="D10" s="4" t="s">
        <v>17</v>
      </c>
      <c r="E10" s="4" t="s">
        <v>37</v>
      </c>
      <c r="F10" s="4" t="n">
        <v>15</v>
      </c>
      <c r="G10" s="5" t="n">
        <v>12</v>
      </c>
      <c r="H10" s="4" t="s">
        <v>38</v>
      </c>
      <c r="I10" s="5" t="n">
        <f aca="false">F10*G10</f>
        <v>180</v>
      </c>
      <c r="J10" s="6" t="str">
        <f aca="false">IF(B10='Invoice Generator'!$D$4,COUNTIF($B$2:B10,'Invoice Generator'!$D$4),"")</f>
        <v/>
      </c>
    </row>
    <row r="11" customFormat="false" ht="15" hidden="false" customHeight="false" outlineLevel="0" collapsed="false">
      <c r="A11" s="4" t="n">
        <v>1010</v>
      </c>
      <c r="B11" s="4" t="s">
        <v>22</v>
      </c>
      <c r="C11" s="4" t="s">
        <v>23</v>
      </c>
      <c r="D11" s="4" t="s">
        <v>24</v>
      </c>
      <c r="E11" s="4" t="s">
        <v>39</v>
      </c>
      <c r="F11" s="4" t="n">
        <v>2</v>
      </c>
      <c r="G11" s="5" t="n">
        <v>45</v>
      </c>
      <c r="H11" s="4" t="s">
        <v>40</v>
      </c>
      <c r="I11" s="5" t="n">
        <f aca="false">F11*G11</f>
        <v>90</v>
      </c>
      <c r="J11" s="6" t="str">
        <f aca="false">IF(B11='Invoice Generator'!$D$4,COUNTIF($B$2:B11,'Invoice Generator'!$D$4),"")</f>
        <v/>
      </c>
    </row>
    <row r="12" customFormat="false" ht="15" hidden="false" customHeight="false" outlineLevel="0" collapsed="false">
      <c r="A12" s="4" t="n">
        <v>1011</v>
      </c>
      <c r="B12" s="4" t="s">
        <v>30</v>
      </c>
      <c r="C12" s="4" t="s">
        <v>31</v>
      </c>
      <c r="D12" s="4" t="s">
        <v>32</v>
      </c>
      <c r="E12" s="4" t="s">
        <v>41</v>
      </c>
      <c r="F12" s="4" t="n">
        <v>4</v>
      </c>
      <c r="G12" s="5" t="n">
        <v>90</v>
      </c>
      <c r="H12" s="4" t="s">
        <v>42</v>
      </c>
      <c r="I12" s="5" t="n">
        <f aca="false">F12*G12</f>
        <v>360</v>
      </c>
      <c r="J12" s="6" t="str">
        <f aca="false">IF(B12='Invoice Generator'!$D$4,COUNTIF($B$2:B12,'Invoice Generator'!$D$4),"")</f>
        <v/>
      </c>
    </row>
    <row r="13" customFormat="false" ht="15" hidden="false" customHeight="false" outlineLevel="0" collapsed="false">
      <c r="A13" s="4" t="n">
        <v>1012</v>
      </c>
      <c r="B13" s="4" t="s">
        <v>43</v>
      </c>
      <c r="C13" s="4" t="s">
        <v>44</v>
      </c>
      <c r="D13" s="4" t="s">
        <v>45</v>
      </c>
      <c r="E13" s="4" t="s">
        <v>46</v>
      </c>
      <c r="F13" s="4" t="n">
        <v>10</v>
      </c>
      <c r="G13" s="5" t="n">
        <v>22.5</v>
      </c>
      <c r="H13" s="4" t="s">
        <v>47</v>
      </c>
      <c r="I13" s="5" t="n">
        <f aca="false">F13*G13</f>
        <v>225</v>
      </c>
      <c r="J13" s="6" t="str">
        <f aca="false">IF(B13='Invoice Generator'!$D$4,COUNTIF($B$2:B13,'Invoice Generator'!$D$4),"")</f>
        <v/>
      </c>
    </row>
    <row r="14" customFormat="false" ht="15" hidden="false" customHeight="false" outlineLevel="0" collapsed="false">
      <c r="A14" s="4" t="n">
        <v>1013</v>
      </c>
      <c r="B14" s="4" t="s">
        <v>10</v>
      </c>
      <c r="C14" s="4" t="s">
        <v>11</v>
      </c>
      <c r="D14" s="4" t="s">
        <v>12</v>
      </c>
      <c r="E14" s="4" t="s">
        <v>20</v>
      </c>
      <c r="F14" s="4" t="n">
        <v>1</v>
      </c>
      <c r="G14" s="5" t="n">
        <v>200</v>
      </c>
      <c r="H14" s="4" t="s">
        <v>48</v>
      </c>
      <c r="I14" s="5" t="n">
        <f aca="false">F14*G14</f>
        <v>200</v>
      </c>
      <c r="J14" s="6" t="n">
        <f aca="false">IF(B14='Invoice Generator'!$D$4,COUNTIF($B$2:B14,'Invoice Generator'!$D$4),"")</f>
        <v>4</v>
      </c>
    </row>
    <row r="15" customFormat="false" ht="15" hidden="false" customHeight="false" outlineLevel="0" collapsed="false">
      <c r="A15" s="4" t="n">
        <v>1014</v>
      </c>
      <c r="B15" s="4" t="s">
        <v>43</v>
      </c>
      <c r="C15" s="4" t="s">
        <v>44</v>
      </c>
      <c r="D15" s="4" t="s">
        <v>45</v>
      </c>
      <c r="E15" s="4" t="s">
        <v>49</v>
      </c>
      <c r="F15" s="4" t="n">
        <v>1</v>
      </c>
      <c r="G15" s="5" t="n">
        <v>60</v>
      </c>
      <c r="H15" s="4" t="s">
        <v>50</v>
      </c>
      <c r="I15" s="5" t="n">
        <f aca="false">F15*G15</f>
        <v>60</v>
      </c>
      <c r="J15" s="6" t="str">
        <f aca="false">IF(B15='Invoice Generator'!$D$4,COUNTIF($B$2:B15,'Invoice Generator'!$D$4),"")</f>
        <v/>
      </c>
    </row>
    <row r="16" customFormat="false" ht="15" hidden="false" customHeight="false" outlineLevel="0" collapsed="false">
      <c r="A16" s="4" t="n">
        <v>1015</v>
      </c>
      <c r="B16" s="4" t="s">
        <v>15</v>
      </c>
      <c r="C16" s="4" t="s">
        <v>16</v>
      </c>
      <c r="D16" s="4" t="s">
        <v>17</v>
      </c>
      <c r="E16" s="4" t="s">
        <v>51</v>
      </c>
      <c r="F16" s="4" t="n">
        <v>30</v>
      </c>
      <c r="G16" s="5" t="n">
        <v>9.2</v>
      </c>
      <c r="H16" s="4" t="s">
        <v>52</v>
      </c>
      <c r="I16" s="5" t="n">
        <f aca="false">F16*G16</f>
        <v>276</v>
      </c>
      <c r="J16" s="6" t="str">
        <f aca="false">IF(B16='Invoice Generator'!$D$4,COUNTIF($B$2:B16,'Invoice Generator'!$D$4),"")</f>
        <v/>
      </c>
    </row>
    <row r="17" customFormat="false" ht="15" hidden="false" customHeight="false" outlineLevel="0" collapsed="false">
      <c r="A17" s="4" t="n">
        <v>1016</v>
      </c>
      <c r="B17" s="4" t="s">
        <v>30</v>
      </c>
      <c r="C17" s="4" t="s">
        <v>31</v>
      </c>
      <c r="D17" s="4" t="s">
        <v>32</v>
      </c>
      <c r="E17" s="4" t="s">
        <v>33</v>
      </c>
      <c r="F17" s="4" t="n">
        <v>1</v>
      </c>
      <c r="G17" s="5" t="n">
        <v>350</v>
      </c>
      <c r="H17" s="4" t="s">
        <v>53</v>
      </c>
      <c r="I17" s="5" t="n">
        <f aca="false">F17*G17</f>
        <v>350</v>
      </c>
      <c r="J17" s="6" t="str">
        <f aca="false">IF(B17='Invoice Generator'!$D$4,COUNTIF($B$2:B17,'Invoice Generator'!$D$4),"")</f>
        <v/>
      </c>
    </row>
    <row r="18" customFormat="false" ht="15" hidden="false" customHeight="false" outlineLevel="0" collapsed="false">
      <c r="A18" s="4" t="n">
        <v>1017</v>
      </c>
      <c r="B18" s="4" t="s">
        <v>43</v>
      </c>
      <c r="C18" s="4" t="s">
        <v>44</v>
      </c>
      <c r="D18" s="4" t="s">
        <v>45</v>
      </c>
      <c r="E18" s="4" t="s">
        <v>46</v>
      </c>
      <c r="F18" s="4" t="n">
        <v>5</v>
      </c>
      <c r="G18" s="5" t="n">
        <v>22.5</v>
      </c>
      <c r="H18" s="4" t="s">
        <v>54</v>
      </c>
      <c r="I18" s="5" t="n">
        <f aca="false">F18*G18</f>
        <v>112.5</v>
      </c>
      <c r="J18" s="6" t="str">
        <f aca="false">IF(B18='Invoice Generator'!$D$4,COUNTIF($B$2:B18,'Invoice Generator'!$D$4),"")</f>
        <v/>
      </c>
    </row>
    <row r="19" customFormat="false" ht="15" hidden="false" customHeight="false" outlineLevel="0" collapsed="false">
      <c r="A19" s="4" t="n">
        <v>1018</v>
      </c>
      <c r="B19" s="4" t="s">
        <v>22</v>
      </c>
      <c r="C19" s="4" t="s">
        <v>23</v>
      </c>
      <c r="D19" s="4" t="s">
        <v>24</v>
      </c>
      <c r="E19" s="4" t="s">
        <v>25</v>
      </c>
      <c r="F19" s="4" t="n">
        <v>3</v>
      </c>
      <c r="G19" s="5" t="n">
        <v>18</v>
      </c>
      <c r="H19" s="4" t="s">
        <v>55</v>
      </c>
      <c r="I19" s="5" t="n">
        <f aca="false">F19*G19</f>
        <v>54</v>
      </c>
      <c r="J19" s="6" t="str">
        <f aca="false">IF(B19='Invoice Generator'!$D$4,COUNTIF($B$2:B19,'Invoice Generator'!$D$4),"")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6"/>
    <col collapsed="false" customWidth="true" hidden="false" outlineLevel="0" max="4" min="3" style="1" width="10"/>
    <col collapsed="false" customWidth="true" hidden="false" outlineLevel="0" max="5" min="5" style="1" width="8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20"/>
  </cols>
  <sheetData>
    <row r="1" customFormat="false" ht="22.05" hidden="false" customHeight="false" outlineLevel="0" collapsed="false">
      <c r="A1" s="7" t="s">
        <v>56</v>
      </c>
      <c r="B1" s="7"/>
      <c r="C1" s="7"/>
      <c r="D1" s="7"/>
      <c r="E1" s="7"/>
      <c r="F1" s="7"/>
      <c r="G1" s="7"/>
      <c r="H1" s="7"/>
    </row>
    <row r="2" customFormat="false" ht="15" hidden="false" customHeight="false" outlineLevel="0" collapsed="false">
      <c r="G2" s="8" t="s">
        <v>57</v>
      </c>
      <c r="H2" s="9" t="str">
        <f aca="true">"INV-"&amp;TEXT(TODAY(),"YYYYMMDD")&amp;"-"&amp;UPPER(LEFT(SUBSTITUTE(D4," ",""),3))</f>
        <v>INV-20260805-DAN</v>
      </c>
    </row>
    <row r="3" customFormat="false" ht="15" hidden="false" customHeight="false" outlineLevel="0" collapsed="false">
      <c r="G3" s="8" t="s">
        <v>58</v>
      </c>
      <c r="H3" s="10" t="n">
        <f aca="true">TODAY()</f>
        <v>46239</v>
      </c>
    </row>
    <row r="4" customFormat="false" ht="15" hidden="false" customHeight="false" outlineLevel="0" collapsed="false">
      <c r="B4" s="11" t="s">
        <v>59</v>
      </c>
      <c r="C4" s="11"/>
      <c r="D4" s="12" t="s">
        <v>10</v>
      </c>
      <c r="E4" s="12"/>
    </row>
    <row r="6" customFormat="false" ht="15" hidden="false" customHeight="false" outlineLevel="0" collapsed="false">
      <c r="B6" s="8" t="s">
        <v>60</v>
      </c>
      <c r="C6" s="13" t="str">
        <f aca="false">INDEX('Raw Order Data'!$B:$B,MATCH(D4,'Raw Order Data'!$B:$B,0))</f>
        <v>Dana Whitfield</v>
      </c>
      <c r="D6" s="13"/>
      <c r="E6" s="13"/>
      <c r="F6" s="13"/>
    </row>
    <row r="7" customFormat="false" ht="15" hidden="false" customHeight="false" outlineLevel="0" collapsed="false">
      <c r="B7" s="8" t="s">
        <v>61</v>
      </c>
      <c r="C7" s="13" t="str">
        <f aca="false">INDEX('Raw Order Data'!$C:$C,MATCH(D4,'Raw Order Data'!$B:$B,0))</f>
        <v>dana.whitfield@brightleaf.co</v>
      </c>
      <c r="D7" s="13"/>
      <c r="E7" s="13"/>
      <c r="F7" s="13"/>
    </row>
    <row r="8" customFormat="false" ht="15" hidden="false" customHeight="false" outlineLevel="0" collapsed="false">
      <c r="B8" s="8" t="s">
        <v>62</v>
      </c>
      <c r="C8" s="13" t="str">
        <f aca="false">INDEX('Raw Order Data'!$D:$D,MATCH(D4,'Raw Order Data'!$B:$B,0))</f>
        <v>142 Cedar Ln, Renton WA</v>
      </c>
      <c r="D8" s="13"/>
      <c r="E8" s="13"/>
      <c r="F8" s="13"/>
    </row>
    <row r="11" customFormat="false" ht="15" hidden="false" customHeight="false" outlineLevel="0" collapsed="false">
      <c r="B11" s="14" t="s">
        <v>4</v>
      </c>
      <c r="C11" s="14"/>
      <c r="D11" s="14"/>
      <c r="E11" s="15" t="s">
        <v>5</v>
      </c>
      <c r="F11" s="15" t="s">
        <v>6</v>
      </c>
      <c r="G11" s="15" t="s">
        <v>8</v>
      </c>
    </row>
    <row r="12" customFormat="false" ht="15" hidden="false" customHeight="false" outlineLevel="0" collapsed="false">
      <c r="B12" s="4" t="str">
        <f aca="false">IFERROR(INDEX('Raw Order Data'!$E:$E,MATCH(1,'Raw Order Data'!$J:$J,0)),"")</f>
        <v>Consulting - Site Audit</v>
      </c>
      <c r="C12" s="4"/>
      <c r="D12" s="4"/>
      <c r="E12" s="16" t="n">
        <f aca="false">IFERROR(INDEX('Raw Order Data'!$F:$F,MATCH(1,'Raw Order Data'!$J:$J,0)),"")</f>
        <v>3</v>
      </c>
      <c r="F12" s="5" t="n">
        <f aca="false">IFERROR(INDEX('Raw Order Data'!$G:$G,MATCH(1,'Raw Order Data'!$J:$J,0)),"")</f>
        <v>125</v>
      </c>
      <c r="G12" s="5" t="n">
        <f aca="false">IF(B12="","",E12*F12)</f>
        <v>375</v>
      </c>
    </row>
    <row r="13" customFormat="false" ht="15" hidden="false" customHeight="false" outlineLevel="0" collapsed="false">
      <c r="B13" s="4" t="str">
        <f aca="false">IFERROR(INDEX('Raw Order Data'!$E:$E,MATCH(2,'Raw Order Data'!$J:$J,0)),"")</f>
        <v>Follow-up Report</v>
      </c>
      <c r="C13" s="4"/>
      <c r="D13" s="4"/>
      <c r="E13" s="16" t="n">
        <f aca="false">IFERROR(INDEX('Raw Order Data'!$F:$F,MATCH(2,'Raw Order Data'!$J:$J,0)),"")</f>
        <v>1</v>
      </c>
      <c r="F13" s="5" t="n">
        <f aca="false">IFERROR(INDEX('Raw Order Data'!$G:$G,MATCH(2,'Raw Order Data'!$J:$J,0)),"")</f>
        <v>200</v>
      </c>
      <c r="G13" s="5" t="n">
        <f aca="false">IF(B13="","",E13*F13)</f>
        <v>200</v>
      </c>
    </row>
    <row r="14" customFormat="false" ht="15" hidden="false" customHeight="false" outlineLevel="0" collapsed="false">
      <c r="B14" s="4" t="str">
        <f aca="false">IFERROR(INDEX('Raw Order Data'!$E:$E,MATCH(3,'Raw Order Data'!$J:$J,0)),"")</f>
        <v>Quarterly Site Audit</v>
      </c>
      <c r="C14" s="4"/>
      <c r="D14" s="4"/>
      <c r="E14" s="16" t="n">
        <f aca="false">IFERROR(INDEX('Raw Order Data'!$F:$F,MATCH(3,'Raw Order Data'!$J:$J,0)),"")</f>
        <v>1</v>
      </c>
      <c r="F14" s="5" t="n">
        <f aca="false">IFERROR(INDEX('Raw Order Data'!$G:$G,MATCH(3,'Raw Order Data'!$J:$J,0)),"")</f>
        <v>275</v>
      </c>
      <c r="G14" s="5" t="n">
        <f aca="false">IF(B14="","",E14*F14)</f>
        <v>275</v>
      </c>
    </row>
    <row r="15" customFormat="false" ht="15" hidden="false" customHeight="false" outlineLevel="0" collapsed="false">
      <c r="B15" s="4" t="str">
        <f aca="false">IFERROR(INDEX('Raw Order Data'!$E:$E,MATCH(4,'Raw Order Data'!$J:$J,0)),"")</f>
        <v>Follow-up Report</v>
      </c>
      <c r="C15" s="4"/>
      <c r="D15" s="4"/>
      <c r="E15" s="16" t="n">
        <f aca="false">IFERROR(INDEX('Raw Order Data'!$F:$F,MATCH(4,'Raw Order Data'!$J:$J,0)),"")</f>
        <v>1</v>
      </c>
      <c r="F15" s="5" t="n">
        <f aca="false">IFERROR(INDEX('Raw Order Data'!$G:$G,MATCH(4,'Raw Order Data'!$J:$J,0)),"")</f>
        <v>200</v>
      </c>
      <c r="G15" s="5" t="n">
        <f aca="false">IF(B15="","",E15*F15)</f>
        <v>200</v>
      </c>
    </row>
    <row r="16" customFormat="false" ht="15" hidden="false" customHeight="false" outlineLevel="0" collapsed="false">
      <c r="B16" s="4" t="str">
        <f aca="false">IFERROR(INDEX('Raw Order Data'!$E:$E,MATCH(5,'Raw Order Data'!$J:$J,0)),"")</f>
        <v/>
      </c>
      <c r="C16" s="4"/>
      <c r="D16" s="4"/>
      <c r="E16" s="16" t="str">
        <f aca="false">IFERROR(INDEX('Raw Order Data'!$F:$F,MATCH(5,'Raw Order Data'!$J:$J,0)),"")</f>
        <v/>
      </c>
      <c r="F16" s="5" t="str">
        <f aca="false">IFERROR(INDEX('Raw Order Data'!$G:$G,MATCH(5,'Raw Order Data'!$J:$J,0)),"")</f>
        <v/>
      </c>
      <c r="G16" s="5" t="str">
        <f aca="false">IF(B16="","",E16*F16)</f>
        <v/>
      </c>
    </row>
    <row r="17" customFormat="false" ht="15" hidden="false" customHeight="false" outlineLevel="0" collapsed="false">
      <c r="B17" s="4" t="str">
        <f aca="false">IFERROR(INDEX('Raw Order Data'!$E:$E,MATCH(6,'Raw Order Data'!$J:$J,0)),"")</f>
        <v/>
      </c>
      <c r="C17" s="4"/>
      <c r="D17" s="4"/>
      <c r="E17" s="16" t="str">
        <f aca="false">IFERROR(INDEX('Raw Order Data'!$F:$F,MATCH(6,'Raw Order Data'!$J:$J,0)),"")</f>
        <v/>
      </c>
      <c r="F17" s="5" t="str">
        <f aca="false">IFERROR(INDEX('Raw Order Data'!$G:$G,MATCH(6,'Raw Order Data'!$J:$J,0)),"")</f>
        <v/>
      </c>
      <c r="G17" s="5" t="str">
        <f aca="false">IF(B17="","",E17*F17)</f>
        <v/>
      </c>
    </row>
    <row r="18" customFormat="false" ht="15" hidden="false" customHeight="false" outlineLevel="0" collapsed="false">
      <c r="B18" s="4" t="str">
        <f aca="false">IFERROR(INDEX('Raw Order Data'!$E:$E,MATCH(7,'Raw Order Data'!$J:$J,0)),"")</f>
        <v/>
      </c>
      <c r="C18" s="4"/>
      <c r="D18" s="4"/>
      <c r="E18" s="16" t="str">
        <f aca="false">IFERROR(INDEX('Raw Order Data'!$F:$F,MATCH(7,'Raw Order Data'!$J:$J,0)),"")</f>
        <v/>
      </c>
      <c r="F18" s="5" t="str">
        <f aca="false">IFERROR(INDEX('Raw Order Data'!$G:$G,MATCH(7,'Raw Order Data'!$J:$J,0)),"")</f>
        <v/>
      </c>
      <c r="G18" s="5" t="str">
        <f aca="false">IF(B18="","",E18*F18)</f>
        <v/>
      </c>
    </row>
    <row r="19" customFormat="false" ht="15" hidden="false" customHeight="false" outlineLevel="0" collapsed="false">
      <c r="B19" s="4" t="str">
        <f aca="false">IFERROR(INDEX('Raw Order Data'!$E:$E,MATCH(8,'Raw Order Data'!$J:$J,0)),"")</f>
        <v/>
      </c>
      <c r="C19" s="4"/>
      <c r="D19" s="4"/>
      <c r="E19" s="16" t="str">
        <f aca="false">IFERROR(INDEX('Raw Order Data'!$F:$F,MATCH(8,'Raw Order Data'!$J:$J,0)),"")</f>
        <v/>
      </c>
      <c r="F19" s="5" t="str">
        <f aca="false">IFERROR(INDEX('Raw Order Data'!$G:$G,MATCH(8,'Raw Order Data'!$J:$J,0)),"")</f>
        <v/>
      </c>
      <c r="G19" s="5" t="str">
        <f aca="false">IF(B19="","",E19*F19)</f>
        <v/>
      </c>
    </row>
    <row r="20" customFormat="false" ht="15" hidden="false" customHeight="false" outlineLevel="0" collapsed="false">
      <c r="F20" s="17" t="s">
        <v>63</v>
      </c>
      <c r="G20" s="18" t="n">
        <f aca="false">SUM(G12:G19)</f>
        <v>1050</v>
      </c>
    </row>
    <row r="21" customFormat="false" ht="15" hidden="false" customHeight="false" outlineLevel="0" collapsed="false">
      <c r="F21" s="17" t="s">
        <v>64</v>
      </c>
      <c r="G21" s="18" t="n">
        <f aca="false">G20*0.1</f>
        <v>105</v>
      </c>
    </row>
    <row r="22" customFormat="false" ht="15" hidden="false" customHeight="false" outlineLevel="0" collapsed="false">
      <c r="F22" s="19" t="s">
        <v>65</v>
      </c>
      <c r="G22" s="20" t="n">
        <f aca="false">G20+G21</f>
        <v>1155</v>
      </c>
    </row>
    <row r="24" customFormat="false" ht="15" hidden="false" customHeight="false" outlineLevel="0" collapsed="false">
      <c r="B24" s="21" t="s">
        <v>66</v>
      </c>
      <c r="C24" s="21"/>
      <c r="D24" s="21"/>
      <c r="E24" s="21"/>
      <c r="F24" s="21"/>
      <c r="G24" s="21"/>
      <c r="H24" s="21"/>
    </row>
  </sheetData>
  <mergeCells count="16">
    <mergeCell ref="A1:H1"/>
    <mergeCell ref="B4:C4"/>
    <mergeCell ref="D4:E4"/>
    <mergeCell ref="C6:F6"/>
    <mergeCell ref="C7:F7"/>
    <mergeCell ref="C8:F8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4:H24"/>
  </mergeCells>
  <dataValidations count="1">
    <dataValidation allowBlank="false" error="Please choose a customer from the dropdown list." errorStyle="stop" errorTitle="Invalid entry" operator="between" prompt="Choose a customer to auto-generate their invoice." promptTitle="Select Customer" showDropDown="false" showErrorMessage="false" showInputMessage="false" sqref="D4" type="list">
      <formula1>"Dana Whitfield,Marcus Oyelaran,Priya Chandrasekaran,Terrence Boyle,Yusuf Abdirahman"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2026-08-05T09:10:51Z</dcterms:created>
  <dc:creator>openpyxl</dc:creator>
  <dc:description/>
  <dc:language>en-US</dc:language>
  <cp:lastModifiedBy/>
  <dcterms:modified xsi:type="dcterms:W3CDTF">2026-08-05T09:10:51Z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